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725"/>
  <workbookPr/>
  <mc:AlternateContent xmlns:mc="http://schemas.openxmlformats.org/markup-compatibility/2006">
    <mc:Choice Requires="x15">
      <x15ac:absPath xmlns:x15ac="http://schemas.microsoft.com/office/spreadsheetml/2010/11/ac" url="D:\"/>
    </mc:Choice>
  </mc:AlternateContent>
  <xr:revisionPtr revIDLastSave="0" documentId="13_ncr:1_{74C0545C-C52C-4931-B186-06EF818E2465}" xr6:coauthVersionLast="47" xr6:coauthVersionMax="47" xr10:uidLastSave="{00000000-0000-0000-0000-000000000000}"/>
  <bookViews>
    <workbookView xWindow="-120" yWindow="-120" windowWidth="20730" windowHeight="11760" xr2:uid="{00000000-000D-0000-FFFF-FFFF00000000}"/>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4" i="1" l="1"/>
  <c r="G12" i="1"/>
  <c r="G11" i="1"/>
  <c r="G7" i="1"/>
  <c r="G8" i="1"/>
  <c r="G6" i="1"/>
  <c r="G17" i="1"/>
  <c r="G16" i="1"/>
  <c r="F16" i="1"/>
  <c r="G15" i="1"/>
  <c r="F15" i="1"/>
  <c r="F5" i="1"/>
  <c r="G5" i="1" s="1"/>
  <c r="F9" i="1"/>
  <c r="G9" i="1" l="1"/>
  <c r="F10" i="1"/>
  <c r="G10" i="1" l="1"/>
  <c r="F13" i="1"/>
  <c r="G13" i="1" s="1"/>
</calcChain>
</file>

<file path=xl/sharedStrings.xml><?xml version="1.0" encoding="utf-8"?>
<sst xmlns="http://schemas.openxmlformats.org/spreadsheetml/2006/main" count="36" uniqueCount="28">
  <si>
    <t>Item</t>
  </si>
  <si>
    <t>Amount ($)</t>
  </si>
  <si>
    <t>Revenue</t>
  </si>
  <si>
    <t>Cost of Goods Sold</t>
  </si>
  <si>
    <t>Sales &amp; Marketing Expenses</t>
  </si>
  <si>
    <t>Administrative Expenses</t>
  </si>
  <si>
    <t>IT &amp; Technology</t>
  </si>
  <si>
    <t>Interest Expense</t>
  </si>
  <si>
    <t>Taxes</t>
  </si>
  <si>
    <t>Elements</t>
  </si>
  <si>
    <t>Income Statement</t>
  </si>
  <si>
    <t>Amounts</t>
  </si>
  <si>
    <t>Gross Profit</t>
  </si>
  <si>
    <t>Operating Profit</t>
  </si>
  <si>
    <t>Rate</t>
  </si>
  <si>
    <t>Operating Expenses</t>
  </si>
  <si>
    <t>Net Profit</t>
  </si>
  <si>
    <t>Task 1</t>
  </si>
  <si>
    <t>Task 3</t>
  </si>
  <si>
    <t>Task 4</t>
  </si>
  <si>
    <t>Task 5</t>
  </si>
  <si>
    <t>Task 7</t>
  </si>
  <si>
    <t>Task 6</t>
  </si>
  <si>
    <t>COGS + 10%</t>
  </si>
  <si>
    <t>New Gross Profit</t>
  </si>
  <si>
    <t>-</t>
  </si>
  <si>
    <t>Reduction on Gross Profit</t>
  </si>
  <si>
    <t>Company Information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</si>
</sst>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1" formatCode="_(* #,##0_);_(* \(#,##0\);_(* &quot;-&quot;_);_(@_)"/>
  </numFmts>
  <fonts count="3" x14ac:knownFonts="1">
    <font>
      <sz val="11"/>
      <color theme="1"/>
      <name val="Calibri"/>
      <family val="2"/>
      <scheme val="minor"/>
    </font>
    <font>
      <sz val="11"/>
      <color theme="1"/>
      <name val="Calibri"/>
      <family val="2"/>
      <scheme val="minor"/>
    </font>
    <font>
      <b/>
      <sz val="11"/>
      <color theme="1"/>
      <name val="Calibri"/>
      <family val="2"/>
      <scheme val="minor"/>
    </font>
  </fonts>
  <fills count="6">
    <fill>
      <patternFill patternType="none"/>
    </fill>
    <fill>
      <patternFill patternType="gray125"/>
    </fill>
    <fill>
      <patternFill patternType="solid">
        <fgColor theme="8" tint="0.59999389629810485"/>
        <bgColor indexed="64"/>
      </patternFill>
    </fill>
    <fill>
      <patternFill patternType="solid">
        <fgColor theme="5" tint="0.59999389629810485"/>
        <bgColor indexed="64"/>
      </patternFill>
    </fill>
    <fill>
      <patternFill patternType="solid">
        <fgColor theme="0" tint="-0.14999847407452621"/>
        <bgColor indexed="64"/>
      </patternFill>
    </fill>
    <fill>
      <patternFill patternType="solid">
        <fgColor theme="0" tint="-4.9989318521683403E-2"/>
        <bgColor indexed="64"/>
      </patternFill>
    </fill>
  </fills>
  <borders count="9">
    <border>
      <left/>
      <right/>
      <top/>
      <bottom/>
      <diagonal/>
    </border>
    <border>
      <left style="thin">
        <color indexed="64"/>
      </left>
      <right style="thin">
        <color indexed="64"/>
      </right>
      <top style="thin">
        <color indexed="64"/>
      </top>
      <bottom style="thin">
        <color indexed="64"/>
      </bottom>
      <diagonal/>
    </border>
    <border>
      <left style="thin">
        <color theme="2" tint="-0.749992370372631"/>
      </left>
      <right style="thin">
        <color theme="2" tint="-0.749992370372631"/>
      </right>
      <top style="thin">
        <color theme="2" tint="-0.749992370372631"/>
      </top>
      <bottom style="thin">
        <color theme="2" tint="-0.749992370372631"/>
      </bottom>
      <diagonal/>
    </border>
    <border>
      <left/>
      <right style="thin">
        <color theme="2" tint="-0.749992370372631"/>
      </right>
      <top style="thin">
        <color theme="2" tint="-0.749992370372631"/>
      </top>
      <bottom style="thin">
        <color theme="2" tint="-0.749992370372631"/>
      </bottom>
      <diagonal/>
    </border>
    <border>
      <left style="thin">
        <color theme="2" tint="-0.749992370372631"/>
      </left>
      <right/>
      <top style="thin">
        <color theme="2" tint="-0.749992370372631"/>
      </top>
      <bottom style="thin">
        <color theme="2" tint="-0.749992370372631"/>
      </bottom>
      <diagonal/>
    </border>
    <border>
      <left/>
      <right/>
      <top style="thin">
        <color theme="2" tint="-0.749992370372631"/>
      </top>
      <bottom style="thin">
        <color theme="2" tint="-0.749992370372631"/>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s>
  <cellStyleXfs count="2">
    <xf numFmtId="0" fontId="0" fillId="0" borderId="0"/>
    <xf numFmtId="9" fontId="1" fillId="0" borderId="0" applyFont="0" applyFill="0" applyBorder="0" applyAlignment="0" applyProtection="0"/>
  </cellStyleXfs>
  <cellXfs count="30">
    <xf numFmtId="0" fontId="0" fillId="0" borderId="0" xfId="0"/>
    <xf numFmtId="0" fontId="0" fillId="0" borderId="1" xfId="0" applyBorder="1"/>
    <xf numFmtId="0" fontId="2" fillId="0" borderId="0" xfId="0" applyFont="1"/>
    <xf numFmtId="0" fontId="0" fillId="0" borderId="2" xfId="0" applyBorder="1"/>
    <xf numFmtId="0" fontId="2" fillId="0" borderId="2" xfId="0" applyFont="1" applyBorder="1"/>
    <xf numFmtId="0" fontId="2" fillId="2" borderId="1" xfId="0" applyFont="1" applyFill="1" applyBorder="1"/>
    <xf numFmtId="0" fontId="2" fillId="4" borderId="2" xfId="0" applyFont="1" applyFill="1" applyBorder="1"/>
    <xf numFmtId="0" fontId="0" fillId="0" borderId="0" xfId="0" applyAlignment="1">
      <alignment horizontal="right"/>
    </xf>
    <xf numFmtId="0" fontId="2" fillId="5" borderId="2" xfId="0" applyFont="1" applyFill="1" applyBorder="1"/>
    <xf numFmtId="41" fontId="0" fillId="0" borderId="0" xfId="0" applyNumberFormat="1"/>
    <xf numFmtId="9" fontId="0" fillId="0" borderId="0" xfId="1" applyFont="1" applyBorder="1"/>
    <xf numFmtId="0" fontId="0" fillId="0" borderId="6" xfId="0" applyBorder="1"/>
    <xf numFmtId="0" fontId="2" fillId="0" borderId="2" xfId="0" applyFont="1" applyBorder="1" applyAlignment="1">
      <alignment horizontal="center" vertical="center"/>
    </xf>
    <xf numFmtId="41" fontId="0" fillId="0" borderId="2" xfId="0" applyNumberFormat="1" applyBorder="1" applyAlignment="1">
      <alignment horizontal="center" vertical="center"/>
    </xf>
    <xf numFmtId="9" fontId="0" fillId="0" borderId="2" xfId="1" applyFont="1" applyBorder="1" applyAlignment="1">
      <alignment horizontal="center" vertical="center"/>
    </xf>
    <xf numFmtId="41" fontId="2" fillId="4" borderId="2" xfId="0" applyNumberFormat="1" applyFont="1" applyFill="1" applyBorder="1" applyAlignment="1">
      <alignment horizontal="center" vertical="center"/>
    </xf>
    <xf numFmtId="9" fontId="2" fillId="4" borderId="2" xfId="1" applyFont="1" applyFill="1" applyBorder="1" applyAlignment="1">
      <alignment horizontal="center" vertical="center"/>
    </xf>
    <xf numFmtId="41" fontId="2" fillId="5" borderId="2" xfId="0" applyNumberFormat="1" applyFont="1" applyFill="1" applyBorder="1" applyAlignment="1">
      <alignment horizontal="center" vertical="center"/>
    </xf>
    <xf numFmtId="41" fontId="0" fillId="0" borderId="1" xfId="0" applyNumberFormat="1" applyBorder="1" applyAlignment="1">
      <alignment horizontal="center" vertical="center"/>
    </xf>
    <xf numFmtId="41" fontId="0" fillId="0" borderId="6" xfId="0" applyNumberFormat="1" applyBorder="1" applyAlignment="1">
      <alignment horizontal="center" vertical="center"/>
    </xf>
    <xf numFmtId="0" fontId="2" fillId="3" borderId="4" xfId="0" applyFont="1" applyFill="1" applyBorder="1" applyAlignment="1">
      <alignment horizontal="center"/>
    </xf>
    <xf numFmtId="0" fontId="2" fillId="3" borderId="5" xfId="0" applyFont="1" applyFill="1" applyBorder="1" applyAlignment="1">
      <alignment horizontal="center"/>
    </xf>
    <xf numFmtId="0" fontId="2" fillId="3" borderId="3" xfId="0" applyFont="1" applyFill="1" applyBorder="1" applyAlignment="1">
      <alignment horizontal="center"/>
    </xf>
    <xf numFmtId="9" fontId="2" fillId="5" borderId="2" xfId="1" applyFont="1" applyFill="1" applyBorder="1" applyAlignment="1">
      <alignment horizontal="center" vertical="center"/>
    </xf>
    <xf numFmtId="41" fontId="0" fillId="0" borderId="0" xfId="0" applyNumberFormat="1" applyAlignment="1">
      <alignment horizontal="center"/>
    </xf>
    <xf numFmtId="9" fontId="0" fillId="0" borderId="0" xfId="1" applyFont="1" applyAlignment="1">
      <alignment horizontal="center"/>
    </xf>
    <xf numFmtId="0" fontId="0" fillId="0" borderId="0" xfId="0" applyAlignment="1">
      <alignment horizontal="center"/>
    </xf>
    <xf numFmtId="9" fontId="0" fillId="0" borderId="0" xfId="0" applyNumberFormat="1" applyAlignment="1">
      <alignment horizontal="center"/>
    </xf>
    <xf numFmtId="0" fontId="2" fillId="2" borderId="7" xfId="0" applyFont="1" applyFill="1" applyBorder="1" applyAlignment="1">
      <alignment horizontal="center"/>
    </xf>
    <xf numFmtId="0" fontId="2" fillId="2" borderId="8" xfId="0" applyFont="1" applyFill="1" applyBorder="1" applyAlignment="1">
      <alignment horizontal="center"/>
    </xf>
  </cellXfs>
  <cellStyles count="2">
    <cellStyle name="Normal" xfId="0" builtinId="0"/>
    <cellStyle name="Percent"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xdr:from>
      <xdr:col>8</xdr:col>
      <xdr:colOff>161192</xdr:colOff>
      <xdr:row>0</xdr:row>
      <xdr:rowOff>0</xdr:rowOff>
    </xdr:from>
    <xdr:to>
      <xdr:col>16</xdr:col>
      <xdr:colOff>249115</xdr:colOff>
      <xdr:row>42</xdr:row>
      <xdr:rowOff>175846</xdr:rowOff>
    </xdr:to>
    <xdr:sp macro="" textlink="">
      <xdr:nvSpPr>
        <xdr:cNvPr id="2" name="TextBox 1">
          <a:extLst>
            <a:ext uri="{FF2B5EF4-FFF2-40B4-BE49-F238E27FC236}">
              <a16:creationId xmlns:a16="http://schemas.microsoft.com/office/drawing/2014/main" id="{D1C5A8C3-922B-9B59-585C-86178A3763C6}"/>
            </a:ext>
          </a:extLst>
        </xdr:cNvPr>
        <xdr:cNvSpPr txBox="1"/>
      </xdr:nvSpPr>
      <xdr:spPr>
        <a:xfrm>
          <a:off x="6491654" y="0"/>
          <a:ext cx="4952999" cy="8176846"/>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fr-FR" sz="1100" b="1" u="sng"/>
            <a:t>Observation</a:t>
          </a:r>
          <a:r>
            <a:rPr lang="fr-FR" sz="1100" b="1" u="sng" baseline="0"/>
            <a:t> (Before correction)</a:t>
          </a:r>
          <a:endParaRPr lang="fr-FR" sz="1100" b="1" u="sng"/>
        </a:p>
        <a:p>
          <a:pPr algn="just"/>
          <a:endParaRPr lang="fr-FR" sz="1100"/>
        </a:p>
        <a:p>
          <a:pPr algn="just"/>
          <a:r>
            <a:rPr lang="fr-FR" sz="1100"/>
            <a:t>Task</a:t>
          </a:r>
          <a:r>
            <a:rPr lang="fr-FR" sz="1100" baseline="0"/>
            <a:t> 8 : </a:t>
          </a:r>
          <a:r>
            <a:rPr lang="fr-FR" sz="1100"/>
            <a:t>According</a:t>
          </a:r>
          <a:r>
            <a:rPr lang="fr-FR" sz="1100" baseline="0"/>
            <a:t> to the gross margin, for  $2.500.000 revenue, the cost of goods represent 56%. In order words, for one product sold, we get a gross profit of 44% which means that this product is profitable. </a:t>
          </a:r>
          <a:r>
            <a:rPr lang="fr-FR"/>
            <a:t>However, management should compare this margin with industry benchmarks to evaluate competitive strength.</a:t>
          </a:r>
          <a:endParaRPr lang="fr-FR" sz="1100" baseline="0"/>
        </a:p>
        <a:p>
          <a:pPr algn="just"/>
          <a:endParaRPr lang="fr-FR" sz="1100" baseline="0"/>
        </a:p>
        <a:p>
          <a:pPr algn="just"/>
          <a:r>
            <a:rPr lang="fr-FR" sz="1100" baseline="0"/>
            <a:t>Task 9 : The operating cost represent 26% of the revenue. The Sales &amp; Marketing represent 46% of this cost and the others 53% (Administrative Expenses and IT). It seems that the company manage very well his operating expenses. Here is the reason : In a traditional sales company, the marketing is one the most important element because it directly have an impact on the sales. And we can see that, it represent the majority of the operating expenses. That reflects a good priority of expenses. But regarding the administrative expense, without detail I can't make a deep analysis.</a:t>
          </a:r>
        </a:p>
        <a:p>
          <a:pPr algn="just"/>
          <a:endParaRPr lang="fr-FR" sz="1100" baseline="0"/>
        </a:p>
        <a:p>
          <a:pPr algn="just"/>
          <a:r>
            <a:rPr lang="fr-FR" sz="1100" baseline="0"/>
            <a:t>Task 10 : The operating margin represent 18% of the revenue (taxe &amp; income free). We got here two main problem. The Total cost is around 82% of the revenue. Considering this fact, we can say that the company can immediately be affected by a decrease of his sales due to market condition, or an increase of the production goods costs and interest &amp; taxes rate change probability. But regarding his activity, It's possible to add another product, in other to spread more easily the Administrative &amp; Marketing costs on more revenue.</a:t>
          </a:r>
        </a:p>
        <a:p>
          <a:pPr algn="just"/>
          <a:endParaRPr lang="fr-FR" sz="1100"/>
        </a:p>
        <a:p>
          <a:pPr algn="just"/>
          <a:r>
            <a:rPr lang="fr-FR" sz="1100"/>
            <a:t>Task 11 : The</a:t>
          </a:r>
          <a:r>
            <a:rPr lang="fr-FR" sz="1100" baseline="0"/>
            <a:t> Net Profit of the company is around 10% of the revenue. We can say that the company is moderatly profitable.</a:t>
          </a:r>
        </a:p>
        <a:p>
          <a:pPr algn="just"/>
          <a:endParaRPr lang="fr-FR" sz="1100" baseline="0"/>
        </a:p>
        <a:p>
          <a:pPr algn="just"/>
          <a:r>
            <a:rPr lang="fr-FR" sz="1100" baseline="0"/>
            <a:t>Task 12 : With the actual information that I have on the company, the operating expenses if the one who need to be optimized. Normaly, it would be the detail of the cost of the goods and the detail of pricing (but I have no information about them).</a:t>
          </a:r>
        </a:p>
        <a:p>
          <a:pPr algn="just"/>
          <a:endParaRPr lang="fr-FR" sz="1100" baseline="0"/>
        </a:p>
        <a:p>
          <a:pPr algn="just"/>
          <a:r>
            <a:rPr lang="fr-FR" sz="1100" baseline="0"/>
            <a:t>Task 13 : An increase of 10% on COGS with this same level of revenue, will reduce the actual Gross profit from 6%. First, there are two problem that we got here in this situation.</a:t>
          </a:r>
        </a:p>
        <a:p>
          <a:pPr algn="just"/>
          <a:r>
            <a:rPr lang="fr-FR" sz="1100" baseline="0"/>
            <a:t>- When the price of COGS increase, the company should review immediately the pricing strategy, and face to the concurrence, the company could be expose to a sell decrease.</a:t>
          </a:r>
        </a:p>
        <a:p>
          <a:pPr algn="just"/>
          <a:r>
            <a:rPr lang="fr-FR" sz="1100" baseline="0"/>
            <a:t>- Secondly, with the net profit of 10% on normal condition, the increase of COGS is very dangerous for the company profitability. In other words the company is too much expose to the market variation, that's not good for investors interest.</a:t>
          </a:r>
        </a:p>
        <a:p>
          <a:pPr algn="just"/>
          <a:endParaRPr lang="fr-FR" sz="1100" baseline="0"/>
        </a:p>
        <a:p>
          <a:pPr algn="just"/>
          <a:r>
            <a:rPr lang="fr-FR" sz="1100" baseline="0"/>
            <a:t>Task 14 : It's simple, even the revenue grow by 20% which means more product sold, some of the Cost &amp; Expenses directly depend on this augmentation. For example, if every product sold cost 66% of COGS and the Sales &amp; marketing cost have a direct impact on the Sales. To make simple, more Sales equals more COGS and more Marketing eventually.</a:t>
          </a:r>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17"/>
  <sheetViews>
    <sheetView tabSelected="1" topLeftCell="D1" zoomScale="130" zoomScaleNormal="130" workbookViewId="0">
      <selection activeCell="B14" sqref="B14"/>
    </sheetView>
  </sheetViews>
  <sheetFormatPr defaultRowHeight="15" x14ac:dyDescent="0.25"/>
  <cols>
    <col min="1" max="1" width="24.42578125" customWidth="1"/>
    <col min="2" max="2" width="10.7109375" customWidth="1"/>
    <col min="3" max="3" width="1.85546875" customWidth="1"/>
    <col min="4" max="4" width="6.42578125" bestFit="1" customWidth="1"/>
    <col min="5" max="5" width="25.140625" customWidth="1"/>
    <col min="6" max="6" width="12.5703125" customWidth="1"/>
    <col min="7" max="7" width="7.42578125" customWidth="1"/>
    <col min="8" max="8" width="6.28515625" customWidth="1"/>
  </cols>
  <sheetData>
    <row r="1" spans="1:8" x14ac:dyDescent="0.25">
      <c r="A1" s="28" t="s">
        <v>27</v>
      </c>
      <c r="B1" s="29"/>
      <c r="C1" s="2"/>
      <c r="E1" s="20" t="s">
        <v>10</v>
      </c>
      <c r="F1" s="21"/>
      <c r="G1" s="22"/>
    </row>
    <row r="2" spans="1:8" x14ac:dyDescent="0.25">
      <c r="A2" s="5" t="s">
        <v>0</v>
      </c>
      <c r="B2" s="5" t="s">
        <v>1</v>
      </c>
      <c r="E2" s="4" t="s">
        <v>9</v>
      </c>
      <c r="F2" s="12" t="s">
        <v>11</v>
      </c>
      <c r="G2" s="12" t="s">
        <v>14</v>
      </c>
    </row>
    <row r="3" spans="1:8" x14ac:dyDescent="0.25">
      <c r="A3" s="1" t="s">
        <v>2</v>
      </c>
      <c r="B3" s="1">
        <v>2500000</v>
      </c>
      <c r="E3" s="3" t="s">
        <v>2</v>
      </c>
      <c r="F3" s="13">
        <v>2500000</v>
      </c>
      <c r="G3" s="14">
        <v>1</v>
      </c>
    </row>
    <row r="4" spans="1:8" x14ac:dyDescent="0.25">
      <c r="A4" s="1" t="s">
        <v>3</v>
      </c>
      <c r="B4" s="1">
        <v>1400000</v>
      </c>
      <c r="E4" s="3" t="s">
        <v>3</v>
      </c>
      <c r="F4" s="13">
        <v>-1400000</v>
      </c>
      <c r="G4" s="14">
        <f>-F4/F3</f>
        <v>0.56000000000000005</v>
      </c>
    </row>
    <row r="5" spans="1:8" x14ac:dyDescent="0.25">
      <c r="A5" s="1" t="s">
        <v>4</v>
      </c>
      <c r="B5" s="1">
        <v>300000</v>
      </c>
      <c r="D5" t="s">
        <v>17</v>
      </c>
      <c r="E5" s="6" t="s">
        <v>12</v>
      </c>
      <c r="F5" s="15">
        <f>F3+F4</f>
        <v>1100000</v>
      </c>
      <c r="G5" s="16">
        <f>F5/F3</f>
        <v>0.44</v>
      </c>
      <c r="H5" s="7" t="s">
        <v>18</v>
      </c>
    </row>
    <row r="6" spans="1:8" x14ac:dyDescent="0.25">
      <c r="A6" s="1" t="s">
        <v>5</v>
      </c>
      <c r="B6" s="1">
        <v>250000</v>
      </c>
      <c r="E6" s="3" t="s">
        <v>4</v>
      </c>
      <c r="F6" s="13">
        <v>-300000</v>
      </c>
      <c r="G6" s="14">
        <f>-F6/$F$3</f>
        <v>0.12</v>
      </c>
    </row>
    <row r="7" spans="1:8" x14ac:dyDescent="0.25">
      <c r="A7" s="1" t="s">
        <v>6</v>
      </c>
      <c r="B7" s="1">
        <v>100000</v>
      </c>
      <c r="E7" s="3" t="s">
        <v>5</v>
      </c>
      <c r="F7" s="13">
        <v>-250000</v>
      </c>
      <c r="G7" s="14">
        <f t="shared" ref="G7:G8" si="0">-F7/$F$3</f>
        <v>0.1</v>
      </c>
    </row>
    <row r="8" spans="1:8" x14ac:dyDescent="0.25">
      <c r="A8" s="1" t="s">
        <v>7</v>
      </c>
      <c r="B8" s="1">
        <v>80000</v>
      </c>
      <c r="E8" s="3" t="s">
        <v>6</v>
      </c>
      <c r="F8" s="13">
        <v>-100000</v>
      </c>
      <c r="G8" s="14">
        <f t="shared" si="0"/>
        <v>0.04</v>
      </c>
    </row>
    <row r="9" spans="1:8" x14ac:dyDescent="0.25">
      <c r="A9" s="1" t="s">
        <v>8</v>
      </c>
      <c r="B9" s="1">
        <v>120000</v>
      </c>
      <c r="D9" t="s">
        <v>18</v>
      </c>
      <c r="E9" s="8" t="s">
        <v>15</v>
      </c>
      <c r="F9" s="17">
        <f>-SUM(F6:F8)</f>
        <v>650000</v>
      </c>
      <c r="G9" s="23">
        <f>F9/F3</f>
        <v>0.26</v>
      </c>
    </row>
    <row r="10" spans="1:8" x14ac:dyDescent="0.25">
      <c r="D10" t="s">
        <v>19</v>
      </c>
      <c r="E10" s="6" t="s">
        <v>13</v>
      </c>
      <c r="F10" s="15">
        <f>F5-F9</f>
        <v>450000</v>
      </c>
      <c r="G10" s="16">
        <f>F10/F3</f>
        <v>0.18</v>
      </c>
      <c r="H10" s="7" t="s">
        <v>20</v>
      </c>
    </row>
    <row r="11" spans="1:8" x14ac:dyDescent="0.25">
      <c r="E11" s="1" t="s">
        <v>7</v>
      </c>
      <c r="F11" s="18">
        <v>-80000</v>
      </c>
      <c r="G11" s="14">
        <f>-F11/$F$3</f>
        <v>3.2000000000000001E-2</v>
      </c>
    </row>
    <row r="12" spans="1:8" x14ac:dyDescent="0.25">
      <c r="E12" s="11" t="s">
        <v>8</v>
      </c>
      <c r="F12" s="19">
        <v>-120000</v>
      </c>
      <c r="G12" s="14">
        <f>-F12/$F$3</f>
        <v>4.8000000000000001E-2</v>
      </c>
    </row>
    <row r="13" spans="1:8" x14ac:dyDescent="0.25">
      <c r="D13" t="s">
        <v>22</v>
      </c>
      <c r="E13" s="6" t="s">
        <v>16</v>
      </c>
      <c r="F13" s="15">
        <f>SUM(F10:F12)</f>
        <v>250000</v>
      </c>
      <c r="G13" s="16">
        <f>F13/F3</f>
        <v>0.1</v>
      </c>
      <c r="H13" s="7" t="s">
        <v>21</v>
      </c>
    </row>
    <row r="14" spans="1:8" x14ac:dyDescent="0.25">
      <c r="F14" s="9"/>
      <c r="G14" s="10"/>
    </row>
    <row r="15" spans="1:8" x14ac:dyDescent="0.25">
      <c r="E15" t="s">
        <v>23</v>
      </c>
      <c r="F15" s="24">
        <f>1400000*1.1</f>
        <v>1540000.0000000002</v>
      </c>
      <c r="G15" s="25">
        <f>F15/F3</f>
        <v>0.6160000000000001</v>
      </c>
    </row>
    <row r="16" spans="1:8" x14ac:dyDescent="0.25">
      <c r="E16" t="s">
        <v>24</v>
      </c>
      <c r="F16" s="24">
        <f>F3-F15</f>
        <v>959999.99999999977</v>
      </c>
      <c r="G16" s="25">
        <f>F16/F3</f>
        <v>0.3839999999999999</v>
      </c>
    </row>
    <row r="17" spans="5:7" x14ac:dyDescent="0.25">
      <c r="E17" t="s">
        <v>26</v>
      </c>
      <c r="F17" s="26" t="s">
        <v>25</v>
      </c>
      <c r="G17" s="27">
        <f>G5-G16</f>
        <v>5.6000000000000105E-2</v>
      </c>
    </row>
  </sheetData>
  <mergeCells count="2">
    <mergeCell ref="E1:G1"/>
    <mergeCell ref="A1:B1"/>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Michael Jelani</dc:creator>
  <cp:lastModifiedBy>Michael Jelani</cp:lastModifiedBy>
  <dcterms:created xsi:type="dcterms:W3CDTF">2015-06-05T18:17:20Z</dcterms:created>
  <dcterms:modified xsi:type="dcterms:W3CDTF">2026-03-13T09:03:51Z</dcterms:modified>
</cp:coreProperties>
</file>